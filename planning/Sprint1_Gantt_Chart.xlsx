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antt Char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<sst xmlns="http://schemas.openxmlformats.org/spreadsheetml/2006/main" count="128" uniqueCount="59">
  <si>
    <t xml:space="preserve">Online Movie Ticket Booking System — Sprint 1 Gantt Chart</t>
  </si>
  <si>
    <t xml:space="preserve">Sprint window: Aug 9 – Aug 19, 2026  |  Gray = est. dev days, Green = passing test, Red = failing test</t>
  </si>
  <si>
    <t xml:space="preserve">User Story ID</t>
  </si>
  <si>
    <t xml:space="preserve">Story Name</t>
  </si>
  <si>
    <t xml:space="preserve">Status</t>
  </si>
  <si>
    <t xml:space="preserve">Aug 09</t>
  </si>
  <si>
    <t xml:space="preserve">Aug 10</t>
  </si>
  <si>
    <t xml:space="preserve">Aug 11</t>
  </si>
  <si>
    <t xml:space="preserve">Aug 12</t>
  </si>
  <si>
    <t xml:space="preserve">Aug 13</t>
  </si>
  <si>
    <t xml:space="preserve">Aug 14</t>
  </si>
  <si>
    <t xml:space="preserve">Aug 15</t>
  </si>
  <si>
    <t xml:space="preserve">Aug 16</t>
  </si>
  <si>
    <t xml:space="preserve">Aug 17</t>
  </si>
  <si>
    <t xml:space="preserve">Aug 18</t>
  </si>
  <si>
    <t xml:space="preserve">Aug 19</t>
  </si>
  <si>
    <t xml:space="preserve">Color Key</t>
  </si>
  <si>
    <t xml:space="preserve">US-01</t>
  </si>
  <si>
    <t xml:space="preserve">Search Movies by City</t>
  </si>
  <si>
    <t xml:space="preserve">Done</t>
  </si>
  <si>
    <t xml:space="preserve">Dev</t>
  </si>
  <si>
    <t xml:space="preserve">P</t>
  </si>
  <si>
    <t xml:space="preserve">Estimated Dev Days</t>
  </si>
  <si>
    <t xml:space="preserve">US-02</t>
  </si>
  <si>
    <t xml:space="preserve">View Showtimes</t>
  </si>
  <si>
    <t xml:space="preserve">Testing</t>
  </si>
  <si>
    <t xml:space="preserve">Passing Test</t>
  </si>
  <si>
    <t xml:space="preserve">US-03</t>
  </si>
  <si>
    <t xml:space="preserve">Select Seats</t>
  </si>
  <si>
    <t xml:space="preserve">Failing Test</t>
  </si>
  <si>
    <t xml:space="preserve">US-04</t>
  </si>
  <si>
    <t xml:space="preserve">Apply Promo Code</t>
  </si>
  <si>
    <t xml:space="preserve">No Activity (blank)</t>
  </si>
  <si>
    <t xml:space="preserve">US-05</t>
  </si>
  <si>
    <t xml:space="preserve">Online Payment Gateway</t>
  </si>
  <si>
    <t xml:space="preserve">F</t>
  </si>
  <si>
    <t xml:space="preserve">US-06</t>
  </si>
  <si>
    <t xml:space="preserve">Generate E-Ticket</t>
  </si>
  <si>
    <t xml:space="preserve">Sprint 1</t>
  </si>
  <si>
    <t xml:space="preserve">Status Key</t>
  </si>
  <si>
    <t xml:space="preserve">US-07</t>
  </si>
  <si>
    <t xml:space="preserve">Cancel Booking</t>
  </si>
  <si>
    <t xml:space="preserve">Backlog</t>
  </si>
  <si>
    <t xml:space="preserve">US-08</t>
  </si>
  <si>
    <t xml:space="preserve">Booking History</t>
  </si>
  <si>
    <t xml:space="preserve">US-09</t>
  </si>
  <si>
    <t xml:space="preserve">Email Notification</t>
  </si>
  <si>
    <t xml:space="preserve">US-10</t>
  </si>
  <si>
    <t xml:space="preserve">Rate &amp; Review Movie</t>
  </si>
  <si>
    <t xml:space="preserve">Test Case Matrix</t>
  </si>
  <si>
    <t xml:space="preserve">Test Date</t>
  </si>
  <si>
    <t xml:space="preserve">Result</t>
  </si>
  <si>
    <t xml:space="preserve">Pass</t>
  </si>
  <si>
    <t xml:space="preserve">Fail</t>
  </si>
  <si>
    <t xml:space="preserve">Summary — Test Results by User Story</t>
  </si>
  <si>
    <t xml:space="preserve">Total Tests</t>
  </si>
  <si>
    <t xml:space="preserve">Passed</t>
  </si>
  <si>
    <t xml:space="preserve">Failed</t>
  </si>
  <si>
    <t xml:space="preserve">SPRINT 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</si>
</sst>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mm\ d&quot;, &quot;yyyy"/>
    <numFmt numFmtId="166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595959"/>
      <name val="Arial"/>
      <family val="0"/>
      <charset val="1"/>
    </font>
    <font>
      <b val="true"/>
      <sz val="10"/>
      <color rgb="FF006100"/>
      <name val="Arial"/>
      <family val="0"/>
      <charset val="1"/>
    </font>
    <font>
      <b val="true"/>
      <sz val="10"/>
      <color rgb="FF9C0006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404040"/>
        <bgColor rgb="FF333300"/>
      </patternFill>
    </fill>
    <fill>
      <patternFill patternType="solid">
        <fgColor rgb="FFC6E0B4"/>
        <bgColor rgb="FFC6EFCE"/>
      </patternFill>
    </fill>
    <fill>
      <patternFill patternType="solid">
        <fgColor rgb="FFD9D9D9"/>
        <bgColor rgb="FFBDD7EE"/>
      </patternFill>
    </fill>
    <fill>
      <patternFill patternType="solid">
        <fgColor rgb="FFC6EFCE"/>
        <bgColor rgb="FFC6E0B4"/>
      </patternFill>
    </fill>
    <fill>
      <patternFill patternType="solid">
        <fgColor rgb="FFFFE699"/>
        <bgColor rgb="FFFFC7CE"/>
      </patternFill>
    </fill>
    <fill>
      <patternFill patternType="solid">
        <fgColor rgb="FFFFC7CE"/>
        <bgColor rgb="FFD9D9D9"/>
      </patternFill>
    </fill>
    <fill>
      <patternFill patternType="solid">
        <fgColor rgb="FFBDD7EE"/>
        <bgColor rgb="FFD9D9D9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D9D9D9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6E0B4"/>
      <rgbColor rgb="FFC6EFCE"/>
      <rgbColor rgb="FFFFE6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6"/>
    <col collapsed="false" customWidth="true" hidden="false" outlineLevel="0" max="3" min="3" style="0" width="12"/>
    <col collapsed="false" customWidth="true" hidden="false" outlineLevel="0" max="14" min="4" style="0" width="7.5"/>
    <col collapsed="false" customWidth="true" hidden="false" outlineLevel="0" max="16" min="16" style="0" width="3"/>
    <col collapsed="false" customWidth="true" hidden="false" outlineLevel="0" max="17" min="17" style="0" width="24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customFormat="false" ht="18" hidden="false" customHeight="true" outlineLevel="0" collapsed="false">
      <c r="A4" s="3" t="s">
        <v>2</v>
      </c>
      <c r="B4" s="3" t="s">
        <v>3</v>
      </c>
      <c r="C4" s="3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P4" s="1" t="s">
        <v>16</v>
      </c>
      <c r="Q4" s="1"/>
    </row>
    <row r="5" customFormat="false" ht="15.75" hidden="false" customHeight="true" outlineLevel="0" collapsed="false">
      <c r="A5" s="5" t="s">
        <v>17</v>
      </c>
      <c r="B5" s="6" t="s">
        <v>18</v>
      </c>
      <c r="C5" s="7" t="s">
        <v>19</v>
      </c>
      <c r="D5" s="8" t="s">
        <v>20</v>
      </c>
      <c r="E5" s="8" t="s">
        <v>20</v>
      </c>
      <c r="F5" s="9" t="s">
        <v>21</v>
      </c>
      <c r="G5" s="9" t="s">
        <v>21</v>
      </c>
      <c r="H5" s="10"/>
      <c r="I5" s="9" t="s">
        <v>21</v>
      </c>
      <c r="J5" s="10"/>
      <c r="K5" s="9" t="s">
        <v>21</v>
      </c>
      <c r="L5" s="10"/>
      <c r="M5" s="10"/>
      <c r="N5" s="10"/>
      <c r="P5" s="11"/>
      <c r="Q5" s="12" t="s">
        <v>22</v>
      </c>
    </row>
    <row r="6" customFormat="false" ht="15.75" hidden="false" customHeight="true" outlineLevel="0" collapsed="false">
      <c r="A6" s="5" t="s">
        <v>23</v>
      </c>
      <c r="B6" s="6" t="s">
        <v>24</v>
      </c>
      <c r="C6" s="13" t="s">
        <v>25</v>
      </c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P6" s="14"/>
      <c r="Q6" s="12" t="s">
        <v>26</v>
      </c>
    </row>
    <row r="7" customFormat="false" ht="15.75" hidden="false" customHeight="true" outlineLevel="0" collapsed="false">
      <c r="A7" s="5" t="s">
        <v>27</v>
      </c>
      <c r="B7" s="6" t="s">
        <v>28</v>
      </c>
      <c r="C7" s="7" t="s">
        <v>19</v>
      </c>
      <c r="D7" s="8" t="s">
        <v>20</v>
      </c>
      <c r="E7" s="8" t="s">
        <v>20</v>
      </c>
      <c r="F7" s="9" t="s">
        <v>21</v>
      </c>
      <c r="G7" s="9" t="s">
        <v>21</v>
      </c>
      <c r="H7" s="10"/>
      <c r="I7" s="10"/>
      <c r="J7" s="9" t="s">
        <v>21</v>
      </c>
      <c r="K7" s="10"/>
      <c r="L7" s="10"/>
      <c r="M7" s="10"/>
      <c r="N7" s="10"/>
      <c r="P7" s="15"/>
      <c r="Q7" s="12" t="s">
        <v>29</v>
      </c>
    </row>
    <row r="8" customFormat="false" ht="15.75" hidden="false" customHeight="true" outlineLevel="0" collapsed="false">
      <c r="A8" s="5" t="s">
        <v>30</v>
      </c>
      <c r="B8" s="6" t="s">
        <v>31</v>
      </c>
      <c r="C8" s="7" t="s">
        <v>19</v>
      </c>
      <c r="D8" s="10"/>
      <c r="E8" s="10"/>
      <c r="F8" s="8" t="s">
        <v>20</v>
      </c>
      <c r="G8" s="8" t="s">
        <v>20</v>
      </c>
      <c r="H8" s="9" t="s">
        <v>21</v>
      </c>
      <c r="I8" s="9" t="s">
        <v>21</v>
      </c>
      <c r="J8" s="10"/>
      <c r="K8" s="9" t="s">
        <v>21</v>
      </c>
      <c r="L8" s="10"/>
      <c r="M8" s="10"/>
      <c r="N8" s="10"/>
      <c r="P8" s="16"/>
      <c r="Q8" s="12" t="s">
        <v>32</v>
      </c>
    </row>
    <row r="9" customFormat="false" ht="15.75" hidden="false" customHeight="true" outlineLevel="0" collapsed="false">
      <c r="A9" s="5" t="s">
        <v>33</v>
      </c>
      <c r="B9" s="6" t="s">
        <v>34</v>
      </c>
      <c r="C9" s="13" t="s">
        <v>25</v>
      </c>
      <c r="D9" s="10"/>
      <c r="E9" s="10"/>
      <c r="F9" s="10"/>
      <c r="G9" s="8" t="s">
        <v>20</v>
      </c>
      <c r="H9" s="8" t="s">
        <v>20</v>
      </c>
      <c r="I9" s="17" t="s">
        <v>35</v>
      </c>
      <c r="J9" s="10"/>
      <c r="K9" s="10"/>
      <c r="L9" s="10"/>
      <c r="M9" s="17" t="s">
        <v>35</v>
      </c>
      <c r="N9" s="10"/>
    </row>
    <row r="10" customFormat="false" ht="15.75" hidden="false" customHeight="true" outlineLevel="0" collapsed="false">
      <c r="A10" s="5" t="s">
        <v>36</v>
      </c>
      <c r="B10" s="6" t="s">
        <v>37</v>
      </c>
      <c r="C10" s="18" t="s">
        <v>38</v>
      </c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P10" s="1" t="s">
        <v>39</v>
      </c>
      <c r="Q10" s="1"/>
    </row>
    <row r="11" customFormat="false" ht="15.75" hidden="false" customHeight="true" outlineLevel="0" collapsed="false">
      <c r="A11" s="5" t="s">
        <v>40</v>
      </c>
      <c r="B11" s="6" t="s">
        <v>41</v>
      </c>
      <c r="C11" s="19" t="s">
        <v>42</v>
      </c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P11" s="20"/>
      <c r="Q11" s="12" t="s">
        <v>19</v>
      </c>
    </row>
    <row r="12" customFormat="false" ht="15.75" hidden="false" customHeight="true" outlineLevel="0" collapsed="false">
      <c r="A12" s="5" t="s">
        <v>43</v>
      </c>
      <c r="B12" s="6" t="s">
        <v>44</v>
      </c>
      <c r="C12" s="19" t="s">
        <v>42</v>
      </c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P12" s="21"/>
      <c r="Q12" s="12" t="s">
        <v>25</v>
      </c>
    </row>
    <row r="13" customFormat="false" ht="15.75" hidden="false" customHeight="true" outlineLevel="0" collapsed="false">
      <c r="A13" s="5" t="s">
        <v>45</v>
      </c>
      <c r="B13" s="6" t="s">
        <v>46</v>
      </c>
      <c r="C13" s="19" t="s">
        <v>42</v>
      </c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P13" s="22"/>
      <c r="Q13" s="12" t="s">
        <v>38</v>
      </c>
    </row>
    <row r="14" customFormat="false" ht="15.75" hidden="false" customHeight="true" outlineLevel="0" collapsed="false">
      <c r="A14" s="5" t="s">
        <v>47</v>
      </c>
      <c r="B14" s="6" t="s">
        <v>48</v>
      </c>
      <c r="C14" s="13" t="s">
        <v>25</v>
      </c>
      <c r="D14" s="10"/>
      <c r="E14" s="10"/>
      <c r="F14" s="10"/>
      <c r="G14" s="10"/>
      <c r="H14" s="8" t="s">
        <v>20</v>
      </c>
      <c r="I14" s="8" t="s">
        <v>20</v>
      </c>
      <c r="J14" s="9" t="s">
        <v>21</v>
      </c>
      <c r="K14" s="10"/>
      <c r="L14" s="9" t="s">
        <v>21</v>
      </c>
      <c r="M14" s="10"/>
      <c r="N14" s="10"/>
      <c r="P14" s="11"/>
      <c r="Q14" s="12" t="s">
        <v>42</v>
      </c>
    </row>
    <row r="17" customFormat="false" ht="17.35" hidden="false" customHeight="false" outlineLevel="0" collapsed="false">
      <c r="A17" s="23" t="s">
        <v>49</v>
      </c>
    </row>
    <row r="18" customFormat="false" ht="15" hidden="false" customHeight="false" outlineLevel="0" collapsed="false">
      <c r="A18" s="24" t="s">
        <v>2</v>
      </c>
      <c r="B18" s="24" t="s">
        <v>50</v>
      </c>
      <c r="C18" s="24" t="s">
        <v>51</v>
      </c>
    </row>
    <row r="19" customFormat="false" ht="15" hidden="false" customHeight="false" outlineLevel="0" collapsed="false">
      <c r="A19" s="25" t="s">
        <v>17</v>
      </c>
      <c r="B19" s="26" t="n">
        <v>46245</v>
      </c>
      <c r="C19" s="9" t="s">
        <v>52</v>
      </c>
    </row>
    <row r="20" customFormat="false" ht="15" hidden="false" customHeight="false" outlineLevel="0" collapsed="false">
      <c r="A20" s="25" t="s">
        <v>17</v>
      </c>
      <c r="B20" s="26" t="n">
        <v>46246</v>
      </c>
      <c r="C20" s="9" t="s">
        <v>52</v>
      </c>
    </row>
    <row r="21" customFormat="false" ht="15" hidden="false" customHeight="false" outlineLevel="0" collapsed="false">
      <c r="A21" s="25" t="s">
        <v>17</v>
      </c>
      <c r="B21" s="26" t="n">
        <v>46248</v>
      </c>
      <c r="C21" s="9" t="s">
        <v>52</v>
      </c>
    </row>
    <row r="22" customFormat="false" ht="15" hidden="false" customHeight="false" outlineLevel="0" collapsed="false">
      <c r="A22" s="25" t="s">
        <v>17</v>
      </c>
      <c r="B22" s="26" t="n">
        <v>46250</v>
      </c>
      <c r="C22" s="9" t="s">
        <v>52</v>
      </c>
    </row>
    <row r="23" customFormat="false" ht="15" hidden="false" customHeight="false" outlineLevel="0" collapsed="false">
      <c r="A23" s="25" t="s">
        <v>27</v>
      </c>
      <c r="B23" s="26" t="n">
        <v>46245</v>
      </c>
      <c r="C23" s="9" t="s">
        <v>52</v>
      </c>
    </row>
    <row r="24" customFormat="false" ht="15" hidden="false" customHeight="false" outlineLevel="0" collapsed="false">
      <c r="A24" s="25" t="s">
        <v>27</v>
      </c>
      <c r="B24" s="26" t="n">
        <v>46246</v>
      </c>
      <c r="C24" s="9" t="s">
        <v>52</v>
      </c>
    </row>
    <row r="25" customFormat="false" ht="15" hidden="false" customHeight="false" outlineLevel="0" collapsed="false">
      <c r="A25" s="25" t="s">
        <v>27</v>
      </c>
      <c r="B25" s="26" t="n">
        <v>46249</v>
      </c>
      <c r="C25" s="9" t="s">
        <v>52</v>
      </c>
    </row>
    <row r="26" customFormat="false" ht="15" hidden="false" customHeight="false" outlineLevel="0" collapsed="false">
      <c r="A26" s="25" t="s">
        <v>30</v>
      </c>
      <c r="B26" s="26" t="n">
        <v>46247</v>
      </c>
      <c r="C26" s="9" t="s">
        <v>52</v>
      </c>
    </row>
    <row r="27" customFormat="false" ht="15" hidden="false" customHeight="false" outlineLevel="0" collapsed="false">
      <c r="A27" s="25" t="s">
        <v>30</v>
      </c>
      <c r="B27" s="26" t="n">
        <v>46248</v>
      </c>
      <c r="C27" s="9" t="s">
        <v>52</v>
      </c>
    </row>
    <row r="28" customFormat="false" ht="15" hidden="false" customHeight="false" outlineLevel="0" collapsed="false">
      <c r="A28" s="25" t="s">
        <v>30</v>
      </c>
      <c r="B28" s="26" t="n">
        <v>46250</v>
      </c>
      <c r="C28" s="9" t="s">
        <v>52</v>
      </c>
    </row>
    <row r="29" customFormat="false" ht="15" hidden="false" customHeight="false" outlineLevel="0" collapsed="false">
      <c r="A29" s="25" t="s">
        <v>33</v>
      </c>
      <c r="B29" s="26" t="n">
        <v>46248</v>
      </c>
      <c r="C29" s="17" t="s">
        <v>53</v>
      </c>
    </row>
    <row r="30" customFormat="false" ht="15" hidden="false" customHeight="false" outlineLevel="0" collapsed="false">
      <c r="A30" s="25" t="s">
        <v>33</v>
      </c>
      <c r="B30" s="26" t="n">
        <v>46252</v>
      </c>
      <c r="C30" s="17" t="s">
        <v>53</v>
      </c>
    </row>
    <row r="31" customFormat="false" ht="15" hidden="false" customHeight="false" outlineLevel="0" collapsed="false">
      <c r="A31" s="25" t="s">
        <v>47</v>
      </c>
      <c r="B31" s="26" t="n">
        <v>46249</v>
      </c>
      <c r="C31" s="9" t="s">
        <v>52</v>
      </c>
    </row>
    <row r="32" customFormat="false" ht="15" hidden="false" customHeight="false" outlineLevel="0" collapsed="false">
      <c r="A32" s="25" t="s">
        <v>47</v>
      </c>
      <c r="B32" s="26" t="n">
        <v>46251</v>
      </c>
      <c r="C32" s="9" t="s">
        <v>52</v>
      </c>
    </row>
    <row r="35" customFormat="false" ht="17.35" hidden="false" customHeight="false" outlineLevel="0" collapsed="false">
      <c r="A35" s="23" t="s">
        <v>54</v>
      </c>
    </row>
    <row r="36" customFormat="false" ht="15" hidden="false" customHeight="false" outlineLevel="0" collapsed="false">
      <c r="A36" s="24" t="s">
        <v>2</v>
      </c>
      <c r="B36" s="24" t="s">
        <v>55</v>
      </c>
      <c r="C36" s="24" t="s">
        <v>56</v>
      </c>
      <c r="D36" s="24" t="s">
        <v>57</v>
      </c>
    </row>
    <row r="37" customFormat="false" ht="15" hidden="false" customHeight="false" outlineLevel="0" collapsed="false">
      <c r="A37" s="6" t="s">
        <v>17</v>
      </c>
      <c r="B37" s="25" t="n">
        <f aca="false">COUNTIF($A$19:$A$32,$A37)</f>
        <v>4</v>
      </c>
      <c r="C37" s="25" t="n">
        <f aca="false">COUNTIFS($A$19:$A$32,$A37,$C$19:$C$32,"Pass")</f>
        <v>4</v>
      </c>
      <c r="D37" s="25" t="n">
        <f aca="false">COUNTIFS($A$19:$A$32,$A37,$C$19:$C$32,"Fail")</f>
        <v>0</v>
      </c>
    </row>
    <row r="38" customFormat="false" ht="15" hidden="false" customHeight="false" outlineLevel="0" collapsed="false">
      <c r="A38" s="6" t="s">
        <v>23</v>
      </c>
      <c r="B38" s="25" t="n">
        <f aca="false">COUNTIF($A$19:$A$32,$A38)</f>
        <v>0</v>
      </c>
      <c r="C38" s="25" t="n">
        <f aca="false">COUNTIFS($A$19:$A$32,$A38,$C$19:$C$32,"Pass")</f>
        <v>0</v>
      </c>
      <c r="D38" s="25" t="n">
        <f aca="false">COUNTIFS($A$19:$A$32,$A38,$C$19:$C$32,"Fail")</f>
        <v>0</v>
      </c>
    </row>
    <row r="39" customFormat="false" ht="15" hidden="false" customHeight="false" outlineLevel="0" collapsed="false">
      <c r="A39" s="6" t="s">
        <v>27</v>
      </c>
      <c r="B39" s="25" t="n">
        <f aca="false">COUNTIF($A$19:$A$32,$A39)</f>
        <v>3</v>
      </c>
      <c r="C39" s="25" t="n">
        <f aca="false">COUNTIFS($A$19:$A$32,$A39,$C$19:$C$32,"Pass")</f>
        <v>3</v>
      </c>
      <c r="D39" s="25" t="n">
        <f aca="false">COUNTIFS($A$19:$A$32,$A39,$C$19:$C$32,"Fail")</f>
        <v>0</v>
      </c>
    </row>
    <row r="40" customFormat="false" ht="15" hidden="false" customHeight="false" outlineLevel="0" collapsed="false">
      <c r="A40" s="6" t="s">
        <v>30</v>
      </c>
      <c r="B40" s="25" t="n">
        <f aca="false">COUNTIF($A$19:$A$32,$A40)</f>
        <v>3</v>
      </c>
      <c r="C40" s="25" t="n">
        <f aca="false">COUNTIFS($A$19:$A$32,$A40,$C$19:$C$32,"Pass")</f>
        <v>3</v>
      </c>
      <c r="D40" s="25" t="n">
        <f aca="false">COUNTIFS($A$19:$A$32,$A40,$C$19:$C$32,"Fail")</f>
        <v>0</v>
      </c>
    </row>
    <row r="41" customFormat="false" ht="15" hidden="false" customHeight="false" outlineLevel="0" collapsed="false">
      <c r="A41" s="6" t="s">
        <v>33</v>
      </c>
      <c r="B41" s="25" t="n">
        <f aca="false">COUNTIF($A$19:$A$32,$A41)</f>
        <v>2</v>
      </c>
      <c r="C41" s="25" t="n">
        <f aca="false">COUNTIFS($A$19:$A$32,$A41,$C$19:$C$32,"Pass")</f>
        <v>0</v>
      </c>
      <c r="D41" s="25" t="n">
        <f aca="false">COUNTIFS($A$19:$A$32,$A41,$C$19:$C$32,"Fail")</f>
        <v>2</v>
      </c>
    </row>
    <row r="42" customFormat="false" ht="15" hidden="false" customHeight="false" outlineLevel="0" collapsed="false">
      <c r="A42" s="6" t="s">
        <v>36</v>
      </c>
      <c r="B42" s="25" t="n">
        <f aca="false">COUNTIF($A$19:$A$32,$A42)</f>
        <v>0</v>
      </c>
      <c r="C42" s="25" t="n">
        <f aca="false">COUNTIFS($A$19:$A$32,$A42,$C$19:$C$32,"Pass")</f>
        <v>0</v>
      </c>
      <c r="D42" s="25" t="n">
        <f aca="false">COUNTIFS($A$19:$A$32,$A42,$C$19:$C$32,"Fail")</f>
        <v>0</v>
      </c>
    </row>
    <row r="43" customFormat="false" ht="15" hidden="false" customHeight="false" outlineLevel="0" collapsed="false">
      <c r="A43" s="6" t="s">
        <v>40</v>
      </c>
      <c r="B43" s="25" t="n">
        <f aca="false">COUNTIF($A$19:$A$32,$A43)</f>
        <v>0</v>
      </c>
      <c r="C43" s="25" t="n">
        <f aca="false">COUNTIFS($A$19:$A$32,$A43,$C$19:$C$32,"Pass")</f>
        <v>0</v>
      </c>
      <c r="D43" s="25" t="n">
        <f aca="false">COUNTIFS($A$19:$A$32,$A43,$C$19:$C$32,"Fail")</f>
        <v>0</v>
      </c>
    </row>
    <row r="44" customFormat="false" ht="15" hidden="false" customHeight="false" outlineLevel="0" collapsed="false">
      <c r="A44" s="6" t="s">
        <v>43</v>
      </c>
      <c r="B44" s="25" t="n">
        <f aca="false">COUNTIF($A$19:$A$32,$A44)</f>
        <v>0</v>
      </c>
      <c r="C44" s="25" t="n">
        <f aca="false">COUNTIFS($A$19:$A$32,$A44,$C$19:$C$32,"Pass")</f>
        <v>0</v>
      </c>
      <c r="D44" s="25" t="n">
        <f aca="false">COUNTIFS($A$19:$A$32,$A44,$C$19:$C$32,"Fail")</f>
        <v>0</v>
      </c>
    </row>
    <row r="45" customFormat="false" ht="15" hidden="false" customHeight="false" outlineLevel="0" collapsed="false">
      <c r="A45" s="6" t="s">
        <v>45</v>
      </c>
      <c r="B45" s="25" t="n">
        <f aca="false">COUNTIF($A$19:$A$32,$A45)</f>
        <v>0</v>
      </c>
      <c r="C45" s="25" t="n">
        <f aca="false">COUNTIFS($A$19:$A$32,$A45,$C$19:$C$32,"Pass")</f>
        <v>0</v>
      </c>
      <c r="D45" s="25" t="n">
        <f aca="false">COUNTIFS($A$19:$A$32,$A45,$C$19:$C$32,"Fail")</f>
        <v>0</v>
      </c>
    </row>
    <row r="46" customFormat="false" ht="15" hidden="false" customHeight="false" outlineLevel="0" collapsed="false">
      <c r="A46" s="6" t="s">
        <v>47</v>
      </c>
      <c r="B46" s="25" t="n">
        <f aca="false">COUNTIF($A$19:$A$32,$A46)</f>
        <v>2</v>
      </c>
      <c r="C46" s="25" t="n">
        <f aca="false">COUNTIFS($A$19:$A$32,$A46,$C$19:$C$32,"Pass")</f>
        <v>2</v>
      </c>
      <c r="D46" s="25" t="n">
        <f aca="false">COUNTIFS($A$19:$A$32,$A46,$C$19:$C$32,"Fail")</f>
        <v>0</v>
      </c>
    </row>
    <row r="47" customFormat="false" ht="15" hidden="false" customHeight="false" outlineLevel="0" collapsed="false">
      <c r="A47" s="27" t="s">
        <v>58</v>
      </c>
      <c r="B47" s="28" t="n">
        <f aca="false">SUM(B37:B46)</f>
        <v>14</v>
      </c>
      <c r="C47" s="28" t="n">
        <f aca="false">SUM(C37:C46)</f>
        <v>12</v>
      </c>
      <c r="D47" s="28" t="n">
        <f aca="false">SUM(D37:D46)</f>
        <v>2</v>
      </c>
    </row>
  </sheetData>
  <mergeCells count="4">
    <mergeCell ref="A1:N1"/>
    <mergeCell ref="A2:N2"/>
    <mergeCell ref="P4:Q4"/>
    <mergeCell ref="P10:Q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2026-08-19T12:06:10Z</dcterms:created>
  <dc:creator>openpyxl</dc:creator>
  <dc:description/>
  <dc:language>en-US</dc:language>
  <cp:lastModifiedBy/>
  <dcterms:modified xsi:type="dcterms:W3CDTF">2026-08-19T12:06:10Z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