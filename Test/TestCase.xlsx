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E3C39E-A006-476E-8363-78E6589025B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1" l="1"/>
  <c r="C22" i="1"/>
  <c r="B22" i="1"/>
  <c r="D21" i="1"/>
  <c r="C21" i="1"/>
  <c r="B21" i="1"/>
  <c r="D20" i="1"/>
  <c r="C20" i="1"/>
  <c r="B20" i="1"/>
  <c r="D19" i="1"/>
  <c r="D23" i="1" s="1"/>
  <c r="C19" i="1"/>
  <c r="C23" i="1" s="1"/>
  <c r="B19" i="1"/>
  <c r="B23" i="1" s="1"/>
</calcChain>
</file>

<file path=xl/sharedStrings.xml><?xml version="1.0" encoding="utf-8"?>
<sst xmlns="http://schemas.openxmlformats.org/spreadsheetml/2006/main" count="141" uniqueCount="95">
  <si>
    <t>Online Movie Ticket Booking System — Test Case Matrix</t>
  </si>
  <si>
    <t>Test ID</t>
  </si>
  <si>
    <t>Test Type</t>
  </si>
  <si>
    <t>Test Objective</t>
  </si>
  <si>
    <t>Related User Story</t>
  </si>
  <si>
    <t>Test Steps / Input</t>
  </si>
  <si>
    <t>Expected Output</t>
  </si>
  <si>
    <t>Actual Output</t>
  </si>
  <si>
    <t>Status</t>
  </si>
  <si>
    <t>Tested By</t>
  </si>
  <si>
    <t>Date</t>
  </si>
  <si>
    <t>TC-01</t>
  </si>
  <si>
    <t>Unit</t>
  </si>
  <si>
    <t>Verify password validation rejects weak passwords</t>
  </si>
  <si>
    <t>US-01</t>
  </si>
  <si>
    <t>Input password 'abc' (less than 8 chars, no digit) during registration</t>
  </si>
  <si>
    <t>System rejects input and displays 'Password must be at least 8 characters and include a number'</t>
  </si>
  <si>
    <t>Error message displayed as expected</t>
  </si>
  <si>
    <t>Pass</t>
  </si>
  <si>
    <t>Salina Tiwari</t>
  </si>
  <si>
    <t>2026-03-11</t>
  </si>
  <si>
    <t>TC-02</t>
  </si>
  <si>
    <t>Verify seat price calculation function</t>
  </si>
  <si>
    <t>US-03</t>
  </si>
  <si>
    <t>Call calculateTotal() with 3 standard seats at Rs 1,220.00 each</t>
  </si>
  <si>
    <t>Function returns Rs 3,660.00</t>
  </si>
  <si>
    <t>Returned Rs 3,660.00</t>
  </si>
  <si>
    <t>2026-03-14</t>
  </si>
  <si>
    <t>TC-03</t>
  </si>
  <si>
    <t>Verify email format validation on registration form</t>
  </si>
  <si>
    <t>Input 'user@@example' as email</t>
  </si>
  <si>
    <t>Field shows 'Invalid email format' and blocks submission</t>
  </si>
  <si>
    <t>TC-04</t>
  </si>
  <si>
    <t>Integration</t>
  </si>
  <si>
    <t>Verify seat locking integrates correctly with booking service</t>
  </si>
  <si>
    <t>Select 2 seats and proceed to payment; simultaneously attempt to select same seats from another session</t>
  </si>
  <si>
    <t>Second session sees seats marked 'Locked/Unavailable' within 5 seconds</t>
  </si>
  <si>
    <t>Second session showed seats as unavailable after 4 seconds</t>
  </si>
  <si>
    <t>2026-03-15</t>
  </si>
  <si>
    <t>TC-05</t>
  </si>
  <si>
    <t>Verify booking service correctly calls payment gateway API</t>
  </si>
  <si>
    <t>US-04</t>
  </si>
  <si>
    <t>Submit booking with valid card details for a Rs 3,660.00 order</t>
  </si>
  <si>
    <t>Payment gateway returns SUCCESS and booking service creates a confirmed booking record</t>
  </si>
  <si>
    <t>Payment returned SUCCESS; booking record created with status 'Confirmed'</t>
  </si>
  <si>
    <t>2026-03-16</t>
  </si>
  <si>
    <t>TC-06</t>
  </si>
  <si>
    <t>Verify cancellation triggers refund request to payment module</t>
  </si>
  <si>
    <t>US-05</t>
  </si>
  <si>
    <t>Cancel a confirmed booking 3 hours before showtime</t>
  </si>
  <si>
    <t>Booking status changes to 'Cancelled' and a refund request record is created</t>
  </si>
  <si>
    <t>Booking cancelled but refund record was not created (bug)</t>
  </si>
  <si>
    <t>Fail</t>
  </si>
  <si>
    <t>TC-07</t>
  </si>
  <si>
    <t>System</t>
  </si>
  <si>
    <t>Verify end-to-end booking flow from login to e-ticket generation</t>
  </si>
  <si>
    <t>US-01–US-04</t>
  </si>
  <si>
    <t>Log in, browse movies, select showtime, choose 2 seats, pay Rs 2,440.00, confirm booking</t>
  </si>
  <si>
    <t>E-ticket with booking ID, movie, seat numbers, and QR code is generated and emailed</t>
  </si>
  <si>
    <t>E-ticket generated and emailed successfully with correct details</t>
  </si>
  <si>
    <t>2026-03-17</t>
  </si>
  <si>
    <t>TC-08</t>
  </si>
  <si>
    <t>Verify system prevents double-booking of the same seat</t>
  </si>
  <si>
    <t>Two users attempt to book seat A5 for the same showtime within 1 second of each other</t>
  </si>
  <si>
    <t>Only one booking succeeds; the second user receives a 'Seat no longer available' message</t>
  </si>
  <si>
    <t>Only one booking succeeded as expected</t>
  </si>
  <si>
    <t>TC-09</t>
  </si>
  <si>
    <t>Verify sales report totals match sum of confirmed bookings</t>
  </si>
  <si>
    <t>US-10</t>
  </si>
  <si>
    <t>Generate admin sales report for a date with 5 confirmed bookings totaling Rs 18,300.00</t>
  </si>
  <si>
    <t>Report shows total revenue of Rs 18,300.00 and 5 transactions</t>
  </si>
  <si>
    <t>Report displayed Rs 18,300.00 and 5 transactions</t>
  </si>
  <si>
    <t>2026-03-18</t>
  </si>
  <si>
    <t>TC-10</t>
  </si>
  <si>
    <t>UAT</t>
  </si>
  <si>
    <t>Confirm a first-time customer can book a ticket without assistance</t>
  </si>
  <si>
    <t>New user (non-technical) is asked to register and book one ticket unaided, task is timed and observed</t>
  </si>
  <si>
    <t>User completes booking within 5 minutes without external help and rates experience 4/5 or higher</t>
  </si>
  <si>
    <t>User completed booking in 4 minutes and rated experience 5/5</t>
  </si>
  <si>
    <t>2026-03-19</t>
  </si>
  <si>
    <t>TC-11</t>
  </si>
  <si>
    <t>Confirm admin can update a showtime and see the change reflected to customers</t>
  </si>
  <si>
    <t>Admin changes a showtime from 6:00 PM to 7:30 PM; customer refreshes movie listing page</t>
  </si>
  <si>
    <t>Updated showtime (7:30 PM) is visible to customers within 1 minute</t>
  </si>
  <si>
    <t>Updated time appeared immediately on refresh</t>
  </si>
  <si>
    <t>TC-12</t>
  </si>
  <si>
    <t>Confirm cancellation and refund process meets customer expectations</t>
  </si>
  <si>
    <t>Customer cancels a booking 3 hours before showtime and checks refund status page</t>
  </si>
  <si>
    <t>Customer sees clear refund status and expected refund timeframe (3–5 business days)</t>
  </si>
  <si>
    <t>Refund status page did not display timeframe (related to TC-06 bug)</t>
  </si>
  <si>
    <t>Test Summary</t>
  </si>
  <si>
    <t>Total Cases</t>
  </si>
  <si>
    <t>Passed</t>
  </si>
  <si>
    <t>Failed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</si>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</sst>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10"/>
      <color rgb="FFFFFFFF"/>
      <name val="Arial"/>
      <charset val="1"/>
    </font>
    <font>
      <b/>
      <sz val="11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CDCDC"/>
        <bgColor rgb="FFE7E7E7"/>
      </patternFill>
    </fill>
    <fill>
      <patternFill patternType="solid">
        <fgColor rgb="FFBFBFBF"/>
        <bgColor rgb="FFC4C4C4"/>
      </patternFill>
    </fill>
    <fill>
      <patternFill patternType="solid">
        <fgColor rgb="FFD0D0D0"/>
        <bgColor rgb="FFCCCCCC"/>
      </patternFill>
    </fill>
    <fill>
      <patternFill patternType="solid">
        <fgColor rgb="FF808080"/>
        <bgColor rgb="FF969696"/>
      </patternFill>
    </fill>
    <fill>
      <patternFill patternType="solid">
        <fgColor rgb="FFE7E7E7"/>
        <bgColor rgb="FFDCDCDC"/>
      </patternFill>
    </fill>
    <fill>
      <patternFill patternType="solid">
        <fgColor rgb="FFC4C4C4"/>
        <bgColor rgb="FFBFBFB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3" fillId="0" borderId="1" xfId="0" applyFont="1" applyBorder="1" applyAlignment="1"/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7E7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DCDC"/>
      <rgbColor rgb="FFFFFF99"/>
      <rgbColor rgb="FFC4C4C4"/>
      <rgbColor rgb="FFFF99CC"/>
      <rgbColor rgb="FFCC99FF"/>
      <rgbColor rgb="FFCC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C1" zoomScaleNormal="100" workbookViewId="0">
      <selection activeCell="A18" sqref="A18"/>
    </sheetView>
  </sheetViews>
  <sheetFormatPr defaultColWidth="8.6328125" defaultRowHeight="14.5" x14ac:dyDescent="0.35"/>
  <cols>
    <col min="1" max="1" width="11.36328125" customWidth="1"/>
    <col min="2" max="2" width="12" customWidth="1"/>
    <col min="3" max="3" width="30" customWidth="1"/>
    <col min="4" max="4" width="16" customWidth="1"/>
    <col min="5" max="5" width="34" customWidth="1"/>
    <col min="6" max="6" width="25.26953125" customWidth="1"/>
    <col min="7" max="7" width="30" customWidth="1"/>
    <col min="8" max="8" width="9" customWidth="1"/>
    <col min="9" max="9" width="13" customWidth="1"/>
    <col min="10" max="10" width="12" customWidth="1"/>
  </cols>
  <sheetData>
    <row r="1" spans="1:10" ht="17.25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23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55.5" customHeight="1" x14ac:dyDescent="0.35">
      <c r="A4" s="3" t="s">
        <v>11</v>
      </c>
      <c r="B4" s="4" t="s">
        <v>12</v>
      </c>
      <c r="C4" s="5" t="s">
        <v>13</v>
      </c>
      <c r="D4" s="3" t="s">
        <v>14</v>
      </c>
      <c r="E4" s="5" t="s">
        <v>15</v>
      </c>
      <c r="F4" s="5" t="s">
        <v>16</v>
      </c>
      <c r="G4" s="5" t="s">
        <v>17</v>
      </c>
      <c r="H4" s="6" t="s">
        <v>18</v>
      </c>
      <c r="I4" s="3" t="s">
        <v>19</v>
      </c>
      <c r="J4" s="3" t="s">
        <v>20</v>
      </c>
    </row>
    <row r="5" spans="1:10" ht="55.5" customHeight="1" x14ac:dyDescent="0.35">
      <c r="A5" s="3" t="s">
        <v>21</v>
      </c>
      <c r="B5" s="4" t="s">
        <v>12</v>
      </c>
      <c r="C5" s="5" t="s">
        <v>22</v>
      </c>
      <c r="D5" s="3" t="s">
        <v>23</v>
      </c>
      <c r="E5" s="5" t="s">
        <v>24</v>
      </c>
      <c r="F5" s="5" t="s">
        <v>25</v>
      </c>
      <c r="G5" s="5" t="s">
        <v>26</v>
      </c>
      <c r="H5" s="6" t="s">
        <v>18</v>
      </c>
      <c r="I5" s="3" t="s">
        <v>19</v>
      </c>
      <c r="J5" s="3" t="s">
        <v>27</v>
      </c>
    </row>
    <row r="6" spans="1:10" ht="55.5" customHeight="1" x14ac:dyDescent="0.35">
      <c r="A6" s="3" t="s">
        <v>28</v>
      </c>
      <c r="B6" s="4" t="s">
        <v>12</v>
      </c>
      <c r="C6" s="5" t="s">
        <v>29</v>
      </c>
      <c r="D6" s="3" t="s">
        <v>14</v>
      </c>
      <c r="E6" s="5" t="s">
        <v>30</v>
      </c>
      <c r="F6" s="5" t="s">
        <v>31</v>
      </c>
      <c r="G6" s="5" t="s">
        <v>31</v>
      </c>
      <c r="H6" s="6" t="s">
        <v>18</v>
      </c>
      <c r="I6" s="3" t="s">
        <v>19</v>
      </c>
      <c r="J6" s="3" t="s">
        <v>20</v>
      </c>
    </row>
    <row r="7" spans="1:10" ht="55.5" customHeight="1" x14ac:dyDescent="0.35">
      <c r="A7" s="3" t="s">
        <v>32</v>
      </c>
      <c r="B7" s="7" t="s">
        <v>33</v>
      </c>
      <c r="C7" s="5" t="s">
        <v>34</v>
      </c>
      <c r="D7" s="3" t="s">
        <v>23</v>
      </c>
      <c r="E7" s="5" t="s">
        <v>35</v>
      </c>
      <c r="F7" s="5" t="s">
        <v>36</v>
      </c>
      <c r="G7" s="5" t="s">
        <v>37</v>
      </c>
      <c r="H7" s="6" t="s">
        <v>18</v>
      </c>
      <c r="I7" s="3" t="s">
        <v>19</v>
      </c>
      <c r="J7" s="3" t="s">
        <v>38</v>
      </c>
    </row>
    <row r="8" spans="1:10" ht="55.5" customHeight="1" x14ac:dyDescent="0.35">
      <c r="A8" s="3" t="s">
        <v>39</v>
      </c>
      <c r="B8" s="7" t="s">
        <v>33</v>
      </c>
      <c r="C8" s="5" t="s">
        <v>40</v>
      </c>
      <c r="D8" s="3" t="s">
        <v>41</v>
      </c>
      <c r="E8" s="5" t="s">
        <v>42</v>
      </c>
      <c r="F8" s="5" t="s">
        <v>43</v>
      </c>
      <c r="G8" s="5" t="s">
        <v>44</v>
      </c>
      <c r="H8" s="6" t="s">
        <v>18</v>
      </c>
      <c r="I8" s="3" t="s">
        <v>19</v>
      </c>
      <c r="J8" s="3" t="s">
        <v>45</v>
      </c>
    </row>
    <row r="9" spans="1:10" ht="55.5" customHeight="1" x14ac:dyDescent="0.35">
      <c r="A9" s="3" t="s">
        <v>46</v>
      </c>
      <c r="B9" s="7" t="s">
        <v>33</v>
      </c>
      <c r="C9" s="5" t="s">
        <v>47</v>
      </c>
      <c r="D9" s="3" t="s">
        <v>48</v>
      </c>
      <c r="E9" s="5" t="s">
        <v>49</v>
      </c>
      <c r="F9" s="5" t="s">
        <v>50</v>
      </c>
      <c r="G9" s="5" t="s">
        <v>51</v>
      </c>
      <c r="H9" s="8" t="s">
        <v>52</v>
      </c>
      <c r="I9" s="3" t="s">
        <v>19</v>
      </c>
      <c r="J9" s="3" t="s">
        <v>45</v>
      </c>
    </row>
    <row r="10" spans="1:10" ht="55.5" customHeight="1" x14ac:dyDescent="0.35">
      <c r="A10" s="3" t="s">
        <v>53</v>
      </c>
      <c r="B10" s="9" t="s">
        <v>54</v>
      </c>
      <c r="C10" s="5" t="s">
        <v>55</v>
      </c>
      <c r="D10" s="3" t="s">
        <v>56</v>
      </c>
      <c r="E10" s="5" t="s">
        <v>57</v>
      </c>
      <c r="F10" s="5" t="s">
        <v>58</v>
      </c>
      <c r="G10" s="5" t="s">
        <v>59</v>
      </c>
      <c r="H10" s="6" t="s">
        <v>18</v>
      </c>
      <c r="I10" s="3" t="s">
        <v>19</v>
      </c>
      <c r="J10" s="3" t="s">
        <v>60</v>
      </c>
    </row>
    <row r="11" spans="1:10" ht="55.5" customHeight="1" x14ac:dyDescent="0.35">
      <c r="A11" s="3" t="s">
        <v>61</v>
      </c>
      <c r="B11" s="9" t="s">
        <v>54</v>
      </c>
      <c r="C11" s="5" t="s">
        <v>62</v>
      </c>
      <c r="D11" s="3" t="s">
        <v>23</v>
      </c>
      <c r="E11" s="5" t="s">
        <v>63</v>
      </c>
      <c r="F11" s="5" t="s">
        <v>64</v>
      </c>
      <c r="G11" s="5" t="s">
        <v>65</v>
      </c>
      <c r="H11" s="6" t="s">
        <v>18</v>
      </c>
      <c r="I11" s="3" t="s">
        <v>19</v>
      </c>
      <c r="J11" s="3" t="s">
        <v>60</v>
      </c>
    </row>
    <row r="12" spans="1:10" ht="55.5" customHeight="1" x14ac:dyDescent="0.35">
      <c r="A12" s="3" t="s">
        <v>66</v>
      </c>
      <c r="B12" s="9" t="s">
        <v>54</v>
      </c>
      <c r="C12" s="5" t="s">
        <v>67</v>
      </c>
      <c r="D12" s="3" t="s">
        <v>68</v>
      </c>
      <c r="E12" s="5" t="s">
        <v>69</v>
      </c>
      <c r="F12" s="5" t="s">
        <v>70</v>
      </c>
      <c r="G12" s="5" t="s">
        <v>71</v>
      </c>
      <c r="H12" s="6" t="s">
        <v>18</v>
      </c>
      <c r="I12" s="3" t="s">
        <v>19</v>
      </c>
      <c r="J12" s="3" t="s">
        <v>72</v>
      </c>
    </row>
    <row r="13" spans="1:10" ht="55.5" customHeight="1" x14ac:dyDescent="0.35">
      <c r="A13" s="3" t="s">
        <v>73</v>
      </c>
      <c r="B13" s="10" t="s">
        <v>74</v>
      </c>
      <c r="C13" s="5" t="s">
        <v>75</v>
      </c>
      <c r="D13" s="3" t="s">
        <v>56</v>
      </c>
      <c r="E13" s="5" t="s">
        <v>76</v>
      </c>
      <c r="F13" s="5" t="s">
        <v>77</v>
      </c>
      <c r="G13" s="5" t="s">
        <v>78</v>
      </c>
      <c r="H13" s="6" t="s">
        <v>18</v>
      </c>
      <c r="I13" s="3" t="s">
        <v>19</v>
      </c>
      <c r="J13" s="3" t="s">
        <v>79</v>
      </c>
    </row>
    <row r="14" spans="1:10" ht="55.5" customHeight="1" x14ac:dyDescent="0.35">
      <c r="A14" s="3" t="s">
        <v>80</v>
      </c>
      <c r="B14" s="10" t="s">
        <v>74</v>
      </c>
      <c r="C14" s="5" t="s">
        <v>81</v>
      </c>
      <c r="D14" s="3" t="s">
        <v>68</v>
      </c>
      <c r="E14" s="5" t="s">
        <v>82</v>
      </c>
      <c r="F14" s="5" t="s">
        <v>83</v>
      </c>
      <c r="G14" s="5" t="s">
        <v>84</v>
      </c>
      <c r="H14" s="6" t="s">
        <v>18</v>
      </c>
      <c r="I14" s="3" t="s">
        <v>19</v>
      </c>
      <c r="J14" s="3" t="s">
        <v>79</v>
      </c>
    </row>
    <row r="15" spans="1:10" ht="55.5" customHeight="1" x14ac:dyDescent="0.35">
      <c r="A15" s="3" t="s">
        <v>85</v>
      </c>
      <c r="B15" s="10" t="s">
        <v>74</v>
      </c>
      <c r="C15" s="5" t="s">
        <v>86</v>
      </c>
      <c r="D15" s="3" t="s">
        <v>48</v>
      </c>
      <c r="E15" s="5" t="s">
        <v>87</v>
      </c>
      <c r="F15" s="5" t="s">
        <v>88</v>
      </c>
      <c r="G15" s="5" t="s">
        <v>89</v>
      </c>
      <c r="H15" s="8" t="s">
        <v>52</v>
      </c>
      <c r="I15" s="3" t="s">
        <v>19</v>
      </c>
      <c r="J15" s="3" t="s">
        <v>79</v>
      </c>
    </row>
    <row r="17" spans="1:4" ht="15" customHeight="1" x14ac:dyDescent="0.35">
      <c r="A17" s="11" t="s">
        <v>90</v>
      </c>
    </row>
    <row r="18" spans="1:4" ht="23.25" customHeight="1" x14ac:dyDescent="0.35">
      <c r="A18" s="2" t="s">
        <v>2</v>
      </c>
      <c r="B18" s="2" t="s">
        <v>91</v>
      </c>
      <c r="C18" s="2" t="s">
        <v>92</v>
      </c>
      <c r="D18" s="2" t="s">
        <v>93</v>
      </c>
    </row>
    <row r="19" spans="1:4" ht="15" customHeight="1" x14ac:dyDescent="0.35">
      <c r="A19" s="12" t="s">
        <v>12</v>
      </c>
      <c r="B19" s="3">
        <f>COUNTIF($B$4:$B$15,A19)</f>
        <v>3</v>
      </c>
      <c r="C19" s="3">
        <f>COUNTIFS($B$4:$B$15,A19,$H$4:$H$15,"Pass")</f>
        <v>3</v>
      </c>
      <c r="D19" s="3">
        <f>COUNTIFS($B$4:$B$15,A19,$H$4:$H$15,"Fail")</f>
        <v>0</v>
      </c>
    </row>
    <row r="20" spans="1:4" ht="15" customHeight="1" x14ac:dyDescent="0.35">
      <c r="A20" s="12" t="s">
        <v>33</v>
      </c>
      <c r="B20" s="3">
        <f>COUNTIF($B$4:$B$15,A20)</f>
        <v>3</v>
      </c>
      <c r="C20" s="3">
        <f>COUNTIFS($B$4:$B$15,A20,$H$4:$H$15,"Pass")</f>
        <v>2</v>
      </c>
      <c r="D20" s="3">
        <f>COUNTIFS($B$4:$B$15,A20,$H$4:$H$15,"Fail")</f>
        <v>1</v>
      </c>
    </row>
    <row r="21" spans="1:4" ht="15" customHeight="1" x14ac:dyDescent="0.35">
      <c r="A21" s="12" t="s">
        <v>54</v>
      </c>
      <c r="B21" s="3">
        <f>COUNTIF($B$4:$B$15,A21)</f>
        <v>3</v>
      </c>
      <c r="C21" s="3">
        <f>COUNTIFS($B$4:$B$15,A21,$H$4:$H$15,"Pass")</f>
        <v>3</v>
      </c>
      <c r="D21" s="3">
        <f>COUNTIFS($B$4:$B$15,A21,$H$4:$H$15,"Fail")</f>
        <v>0</v>
      </c>
    </row>
    <row r="22" spans="1:4" ht="15" customHeight="1" x14ac:dyDescent="0.35">
      <c r="A22" s="12" t="s">
        <v>74</v>
      </c>
      <c r="B22" s="3">
        <f>COUNTIF($B$4:$B$15,A22)</f>
        <v>3</v>
      </c>
      <c r="C22" s="3">
        <f>COUNTIFS($B$4:$B$15,A22,$H$4:$H$15,"Pass")</f>
        <v>2</v>
      </c>
      <c r="D22" s="3">
        <f>COUNTIFS($B$4:$B$15,A22,$H$4:$H$15,"Fail")</f>
        <v>1</v>
      </c>
    </row>
    <row r="23" spans="1:4" ht="15" customHeight="1" x14ac:dyDescent="0.35">
      <c r="A23" s="13" t="s">
        <v>94</v>
      </c>
      <c r="B23" s="13">
        <f>SUM(B19:B22)</f>
        <v>12</v>
      </c>
      <c r="C23" s="13">
        <f>SUM(C19:C22)</f>
        <v>10</v>
      </c>
      <c r="D23" s="13">
        <f>SUM(D19:D22)</f>
        <v>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2026-08-18T01:26:24Z</dcterms:created>
  <dcterms:modified xsi:type="dcterms:W3CDTF">2026-08-18T01:34:54Z</dcterms:modified>
  <dc:language>en-US</dc:language>
</cp:coreProperties>
</file>